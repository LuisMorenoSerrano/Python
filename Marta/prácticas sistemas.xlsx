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webextensions/taskpanes.xml" ContentType="application/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</sheets>
  <definedNames>
    <definedName function="false" hidden="false" name="b" vbProcedure="false">Datos!$D$2</definedName>
    <definedName function="false" hidden="false" name="c_0" vbProcedure="false">Datos!$C$2:$C$18</definedName>
    <definedName function="false" hidden="false" name="c_1" vbProcedure="false">Datos!$H$2:$H$18</definedName>
    <definedName function="false" hidden="false" name="c_2" vbProcedure="false">Datos!$L$2:$L$18</definedName>
    <definedName function="false" hidden="false" name="epsilon" vbProcedure="false">Datos!$E$2</definedName>
    <definedName function="false" hidden="false" name="k_1" vbProcedure="false">Datos!$G$2</definedName>
    <definedName function="false" hidden="false" name="k_2" vbProcedure="false">Datos!$K$2</definedName>
    <definedName function="false" hidden="false" name="n_2" vbProcedure="false">Datos!$K$4</definedName>
    <definedName function="false" hidden="false" localSheetId="0" name="solver_adj" vbProcedure="false">Datos!$G$2</definedName>
    <definedName function="false" hidden="false" localSheetId="0" name="solver_cvg" vbProcedure="false">1E-018</definedName>
    <definedName function="false" hidden="false" localSheetId="0" name="solver_drv" vbProcedure="false">1</definedName>
    <definedName function="false" hidden="false" localSheetId="0" name="solver_eng" vbProcedure="false">1</definedName>
    <definedName function="false" hidden="false" localSheetId="0" name="solver_est" vbProcedure="false">1</definedName>
    <definedName function="false" hidden="false" localSheetId="0" name="solver_itr" vbProcedure="false">2147483647</definedName>
    <definedName function="false" hidden="false" localSheetId="0" name="solver_lhs1" vbProcedure="false">Datos!$G$2</definedName>
    <definedName function="false" hidden="false" localSheetId="0" name="solver_mip" vbProcedure="false">2147483647</definedName>
    <definedName function="false" hidden="false" localSheetId="0" name="solver_mni" vbProcedure="false">30</definedName>
    <definedName function="false" hidden="false" localSheetId="0" name="solver_mrt" vbProcedure="false">0.075</definedName>
    <definedName function="false" hidden="false" localSheetId="0" name="solver_msl" vbProcedure="false">1</definedName>
    <definedName function="false" hidden="false" localSheetId="0" name="solver_neg" vbProcedure="false">1</definedName>
    <definedName function="false" hidden="false" localSheetId="0" name="solver_nod" vbProcedure="false">2147483647</definedName>
    <definedName function="false" hidden="false" localSheetId="0" name="solver_num" vbProcedure="false">0</definedName>
    <definedName function="false" hidden="false" localSheetId="0" name="solver_nwt" vbProcedure="false">1</definedName>
    <definedName function="false" hidden="false" localSheetId="0" name="solver_opt" vbProcedure="false">Datos!$I$2</definedName>
    <definedName function="false" hidden="false" localSheetId="0" name="solver_pre" vbProcedure="false">1E-018</definedName>
    <definedName function="false" hidden="false" localSheetId="0" name="solver_rbv" vbProcedure="false">2</definedName>
    <definedName function="false" hidden="false" localSheetId="0" name="solver_rel1" vbProcedure="false">3</definedName>
    <definedName function="false" hidden="false" localSheetId="0" name="solver_rhs1" vbProcedure="false">0</definedName>
    <definedName function="false" hidden="false" localSheetId="0" name="solver_rlx" vbProcedure="false">2</definedName>
    <definedName function="false" hidden="false" localSheetId="0" name="solver_rsd" vbProcedure="false">0</definedName>
    <definedName function="false" hidden="false" localSheetId="0" name="solver_scl" vbProcedure="false">1</definedName>
    <definedName function="false" hidden="false" localSheetId="0" name="solver_sho" vbProcedure="false">2</definedName>
    <definedName function="false" hidden="false" localSheetId="0" name="solver_ssz" vbProcedure="false">10000</definedName>
    <definedName function="false" hidden="false" localSheetId="0" name="solver_tim" vbProcedure="false">2147483647</definedName>
    <definedName function="false" hidden="false" localSheetId="0" name="solver_tol" vbProcedure="false">0.01</definedName>
    <definedName function="false" hidden="false" localSheetId="0" name="solver_typ" vbProcedure="false">2</definedName>
    <definedName function="false" hidden="false" localSheetId="0" name="solver_val" vbProcedure="false">0</definedName>
    <definedName function="false" hidden="false" localSheetId="0" name="solver_ver" vbProcedure="false">3</definedName>
    <definedName function="false" hidden="false" name="b" vbProcedure="false">m!$D$2</definedName>
    <definedName function="false" hidden="false" name="c_0" vbProcedure="false">m!$C$2:$C$18</definedName>
    <definedName function="false" hidden="false" name="c_1" vbProcedure="false">m!$H$2:$H$18</definedName>
    <definedName function="false" hidden="false" name="c_2" vbProcedure="false">m!$L$2:$L$18</definedName>
    <definedName function="false" hidden="false" name="epsilon" vbProcedure="false">m!$E$2</definedName>
    <definedName function="false" hidden="false" name="k_1" vbProcedure="false">m!$G$2</definedName>
    <definedName function="false" hidden="false" name="k_2" vbProcedure="false">m!$K$2</definedName>
    <definedName function="false" hidden="false" name="n_2" vbProcedure="false">m!$K$4</definedName>
    <definedName function="false" hidden="false" name="solver_adj" vbProcedure="false">m!$G$2</definedName>
    <definedName function="false" hidden="false" name="solver_cvg" vbProcedure="false">1E-018</definedName>
    <definedName function="false" hidden="false" name="solver_drv" vbProcedure="false">1</definedName>
    <definedName function="false" hidden="false" name="solver_eng" vbProcedure="false">1</definedName>
    <definedName function="false" hidden="false" name="solver_est" vbProcedure="false">1</definedName>
    <definedName function="false" hidden="false" name="solver_itr" vbProcedure="false">2147483647</definedName>
    <definedName function="false" hidden="false" name="solver_lhs1" vbProcedure="false">m!$G$2</definedName>
    <definedName function="false" hidden="false" name="solver_mip" vbProcedure="false">2147483647</definedName>
    <definedName function="false" hidden="false" name="solver_mni" vbProcedure="false">30</definedName>
    <definedName function="false" hidden="false" name="solver_mrt" vbProcedure="false">0.075</definedName>
    <definedName function="false" hidden="false" name="solver_msl" vbProcedure="false">1</definedName>
    <definedName function="false" hidden="false" name="solver_neg" vbProcedure="false">1</definedName>
    <definedName function="false" hidden="false" name="solver_nod" vbProcedure="false">2147483647</definedName>
    <definedName function="false" hidden="false" name="solver_num" vbProcedure="false">0</definedName>
    <definedName function="false" hidden="false" name="solver_nwt" vbProcedure="false">1</definedName>
    <definedName function="false" hidden="false" name="solver_opt" vbProcedure="false">m!$I$2</definedName>
    <definedName function="false" hidden="false" name="solver_pre" vbProcedure="false">1E-018</definedName>
    <definedName function="false" hidden="false" name="solver_rbv" vbProcedure="false">2</definedName>
    <definedName function="false" hidden="false" name="solver_rel1" vbProcedure="false">3</definedName>
    <definedName function="false" hidden="false" name="solver_rhs1" vbProcedure="false">0</definedName>
    <definedName function="false" hidden="false" name="solver_rlx" vbProcedure="false">2</definedName>
    <definedName function="false" hidden="false" name="solver_rsd" vbProcedure="false">0</definedName>
    <definedName function="false" hidden="false" name="solver_scl" vbProcedure="false">1</definedName>
    <definedName function="false" hidden="false" name="solver_sho" vbProcedure="false">2</definedName>
    <definedName function="false" hidden="false" name="solver_ssz" vbProcedure="false">10000</definedName>
    <definedName function="false" hidden="false" name="solver_tim" vbProcedure="false">2147483647</definedName>
    <definedName function="false" hidden="false" name="solver_tol" vbProcedure="false">0.01</definedName>
    <definedName function="false" hidden="false" name="solver_typ" vbProcedure="false">2</definedName>
    <definedName function="false" hidden="false" name="solver_val" vbProcedure="false">0</definedName>
    <definedName function="false" hidden="false" name="solver_ver" vbProcedure="false">3</definedName>
    <definedName function="false" hidden="false" name="b" vbProcedure="false">mx!$D$2</definedName>
    <definedName function="false" hidden="false" name="c_0" vbProcedure="false">mx!$C$2:$C$18</definedName>
    <definedName function="false" hidden="false" name="c_1" vbProcedure="false">mx!$H$2:$H$18</definedName>
    <definedName function="false" hidden="false" name="c_2" vbProcedure="false">mx!$L$2:$L$18</definedName>
    <definedName function="false" hidden="false" name="epsilon" vbProcedure="false">mx!$E$2</definedName>
    <definedName function="false" hidden="false" name="k_1" vbProcedure="false">mx!$G$2</definedName>
    <definedName function="false" hidden="false" name="k_2" vbProcedure="false">mx!$K$2</definedName>
    <definedName function="false" hidden="false" name="n_2" vbProcedure="false">mx!$K$4</definedName>
    <definedName function="false" hidden="false" name="solver_adj" vbProcedure="false">mx!$G$2</definedName>
    <definedName function="false" hidden="false" name="solver_cvg" vbProcedure="false">1E-018</definedName>
    <definedName function="false" hidden="false" name="solver_drv" vbProcedure="false">1</definedName>
    <definedName function="false" hidden="false" name="solver_eng" vbProcedure="false">1</definedName>
    <definedName function="false" hidden="false" name="solver_est" vbProcedure="false">1</definedName>
    <definedName function="false" hidden="false" name="solver_itr" vbProcedure="false">2147483647</definedName>
    <definedName function="false" hidden="false" name="solver_lhs1" vbProcedure="false">mx!$G$2</definedName>
    <definedName function="false" hidden="false" name="solver_mip" vbProcedure="false">2147483647</definedName>
    <definedName function="false" hidden="false" name="solver_mni" vbProcedure="false">30</definedName>
    <definedName function="false" hidden="false" name="solver_mrt" vbProcedure="false">0.075</definedName>
    <definedName function="false" hidden="false" name="solver_msl" vbProcedure="false">1</definedName>
    <definedName function="false" hidden="false" name="solver_neg" vbProcedure="false">1</definedName>
    <definedName function="false" hidden="false" name="solver_nod" vbProcedure="false">2147483647</definedName>
    <definedName function="false" hidden="false" name="solver_num" vbProcedure="false">0</definedName>
    <definedName function="false" hidden="false" name="solver_nwt" vbProcedure="false">1</definedName>
    <definedName function="false" hidden="false" name="solver_opt" vbProcedure="false">mx!$I$2</definedName>
    <definedName function="false" hidden="false" name="solver_pre" vbProcedure="false">1E-018</definedName>
    <definedName function="false" hidden="false" name="solver_rbv" vbProcedure="false">2</definedName>
    <definedName function="false" hidden="false" name="solver_rel1" vbProcedure="false">3</definedName>
    <definedName function="false" hidden="false" name="solver_rhs1" vbProcedure="false">0</definedName>
    <definedName function="false" hidden="false" name="solver_rlx" vbProcedure="false">2</definedName>
    <definedName function="false" hidden="false" name="solver_rsd" vbProcedure="false">0</definedName>
    <definedName function="false" hidden="false" name="solver_scl" vbProcedure="false">1</definedName>
    <definedName function="false" hidden="false" name="solver_sho" vbProcedure="false">2</definedName>
    <definedName function="false" hidden="false" name="solver_ssz" vbProcedure="false">10000</definedName>
    <definedName function="false" hidden="false" name="solver_tim" vbProcedure="false">2147483647</definedName>
    <definedName function="false" hidden="false" name="solver_tol" vbProcedure="false">0.01</definedName>
    <definedName function="false" hidden="false" name="solver_typ" vbProcedure="false">2</definedName>
    <definedName function="false" hidden="false" name="solver_val" vbProcedure="false">0</definedName>
    <definedName function="false" hidden="false" name="solver_ver" vbProcedure="false">3</definedName>
    <definedName function="false" hidden="false" name="b" vbProcedure="false">mm!$D$2</definedName>
    <definedName function="false" hidden="false" name="c_0" vbProcedure="false">mm!$C$2:$C$18</definedName>
    <definedName function="false" hidden="false" name="c_1" vbProcedure="false">mm!$H$2:$H$18</definedName>
    <definedName function="false" hidden="false" name="c_2" vbProcedure="false">mm!$L$2:$L$18</definedName>
    <definedName function="false" hidden="false" name="epsilon" vbProcedure="false">mm!$E$2</definedName>
    <definedName function="false" hidden="false" name="k_1" vbProcedure="false">mm!$G$2</definedName>
    <definedName function="false" hidden="false" name="k_2" vbProcedure="false">mm!$K$2</definedName>
    <definedName function="false" hidden="false" name="n_2" vbProcedure="false">mm!$K$4</definedName>
    <definedName function="false" hidden="false" name="solver_adj" vbProcedure="false">mm!$G$2</definedName>
    <definedName function="false" hidden="false" name="solver_cvg" vbProcedure="false">1E-018</definedName>
    <definedName function="false" hidden="false" name="solver_drv" vbProcedure="false">1</definedName>
    <definedName function="false" hidden="false" name="solver_eng" vbProcedure="false">1</definedName>
    <definedName function="false" hidden="false" name="solver_est" vbProcedure="false">1</definedName>
    <definedName function="false" hidden="false" name="solver_itr" vbProcedure="false">2147483647</definedName>
    <definedName function="false" hidden="false" name="solver_lhs1" vbProcedure="false">mm!$G$2</definedName>
    <definedName function="false" hidden="false" name="solver_mip" vbProcedure="false">2147483647</definedName>
    <definedName function="false" hidden="false" name="solver_mni" vbProcedure="false">30</definedName>
    <definedName function="false" hidden="false" name="solver_mrt" vbProcedure="false">0.075</definedName>
    <definedName function="false" hidden="false" name="solver_msl" vbProcedure="false">1</definedName>
    <definedName function="false" hidden="false" name="solver_neg" vbProcedure="false">1</definedName>
    <definedName function="false" hidden="false" name="solver_nod" vbProcedure="false">2147483647</definedName>
    <definedName function="false" hidden="false" name="solver_num" vbProcedure="false">0</definedName>
    <definedName function="false" hidden="false" name="solver_nwt" vbProcedure="false">1</definedName>
    <definedName function="false" hidden="false" name="solver_opt" vbProcedure="false">mm!$I$2</definedName>
    <definedName function="false" hidden="false" name="solver_pre" vbProcedure="false">1E-018</definedName>
    <definedName function="false" hidden="false" name="solver_rbv" vbProcedure="false">2</definedName>
    <definedName function="false" hidden="false" name="solver_rel1" vbProcedure="false">3</definedName>
    <definedName function="false" hidden="false" name="solver_rhs1" vbProcedure="false">0</definedName>
    <definedName function="false" hidden="false" name="solver_rlx" vbProcedure="false">2</definedName>
    <definedName function="false" hidden="false" name="solver_rsd" vbProcedure="false">0</definedName>
    <definedName function="false" hidden="false" name="solver_scl" vbProcedure="false">1</definedName>
    <definedName function="false" hidden="false" name="solver_sho" vbProcedure="false">2</definedName>
    <definedName function="false" hidden="false" name="solver_ssz" vbProcedure="false">10000</definedName>
    <definedName function="false" hidden="false" name="solver_tim" vbProcedure="false">2147483647</definedName>
    <definedName function="false" hidden="false" name="solver_tol" vbProcedure="false">0.01</definedName>
    <definedName function="false" hidden="false" name="solver_typ" vbProcedure="false">2</definedName>
    <definedName function="false" hidden="false" name="solver_val" vbProcedure="false">0</definedName>
    <definedName function="false" hidden="false" name="solver_ver" vbProcedure="false">3</definedName>
    <definedName function="false" hidden="false" name="b" vbProcedure="false">kk!$D$2</definedName>
    <definedName function="false" hidden="false" name="c_0" vbProcedure="false">kk!$C$2:$C$18</definedName>
    <definedName function="false" hidden="false" name="c_1" vbProcedure="false">kk!$H$2:$H$18</definedName>
    <definedName function="false" hidden="false" name="c_2" vbProcedure="false">kk!$L$2:$L$18</definedName>
    <definedName function="false" hidden="false" name="epsilon" vbProcedure="false">kk!$E$2</definedName>
    <definedName function="false" hidden="false" name="k_1" vbProcedure="false">kk!$G$2</definedName>
    <definedName function="false" hidden="false" name="k_2" vbProcedure="false">kk!$K$2</definedName>
    <definedName function="false" hidden="false" name="n_2" vbProcedure="false">kk!$K$4</definedName>
    <definedName function="false" hidden="false" name="solver_adj" vbProcedure="false">kk!$G$2</definedName>
    <definedName function="false" hidden="false" name="solver_cvg" vbProcedure="false">1E-018</definedName>
    <definedName function="false" hidden="false" name="solver_drv" vbProcedure="false">1</definedName>
    <definedName function="false" hidden="false" name="solver_eng" vbProcedure="false">1</definedName>
    <definedName function="false" hidden="false" name="solver_est" vbProcedure="false">1</definedName>
    <definedName function="false" hidden="false" name="solver_itr" vbProcedure="false">2147483647</definedName>
    <definedName function="false" hidden="false" name="solver_lhs1" vbProcedure="false">kk!$G$2</definedName>
    <definedName function="false" hidden="false" name="solver_mip" vbProcedure="false">2147483647</definedName>
    <definedName function="false" hidden="false" name="solver_mni" vbProcedure="false">30</definedName>
    <definedName function="false" hidden="false" name="solver_mrt" vbProcedure="false">0.075</definedName>
    <definedName function="false" hidden="false" name="solver_msl" vbProcedure="false">1</definedName>
    <definedName function="false" hidden="false" name="solver_neg" vbProcedure="false">1</definedName>
    <definedName function="false" hidden="false" name="solver_nod" vbProcedure="false">2147483647</definedName>
    <definedName function="false" hidden="false" name="solver_num" vbProcedure="false">0</definedName>
    <definedName function="false" hidden="false" name="solver_nwt" vbProcedure="false">1</definedName>
    <definedName function="false" hidden="false" name="solver_opt" vbProcedure="false">kk!$I$2</definedName>
    <definedName function="false" hidden="false" name="solver_pre" vbProcedure="false">1E-018</definedName>
    <definedName function="false" hidden="false" name="solver_rbv" vbProcedure="false">2</definedName>
    <definedName function="false" hidden="false" name="solver_rel1" vbProcedure="false">3</definedName>
    <definedName function="false" hidden="false" name="solver_rhs1" vbProcedure="false">0</definedName>
    <definedName function="false" hidden="false" name="solver_rlx" vbProcedure="false">2</definedName>
    <definedName function="false" hidden="false" name="solver_rsd" vbProcedure="false">0</definedName>
    <definedName function="false" hidden="false" name="solver_scl" vbProcedure="false">1</definedName>
    <definedName function="false" hidden="false" name="solver_sho" vbProcedure="false">2</definedName>
    <definedName function="false" hidden="false" name="solver_ssz" vbProcedure="false">10000</definedName>
    <definedName function="false" hidden="false" name="solver_tim" vbProcedure="false">2147483647</definedName>
    <definedName function="false" hidden="false" name="solver_tol" vbProcedure="false">0.01</definedName>
    <definedName function="false" hidden="false" name="solver_typ" vbProcedure="false">2</definedName>
    <definedName function="false" hidden="false" name="solver_val" vbProcedure="false">0</definedName>
    <definedName function="false" hidden="false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<sst xmlns="http://schemas.openxmlformats.org/spreadsheetml/2006/main" count="12" uniqueCount="12">
  <si>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tiempo</t>
  </si>
  <si>
    <t xml:space="preserve">A</t>
  </si>
  <si>
    <t xml:space="preserve">[c]</t>
  </si>
  <si>
    <t xml:space="preserve">b</t>
  </si>
  <si>
    <t xml:space="preserve">ε</t>
  </si>
  <si>
    <r>
      <rPr>
        <b val="true"/>
        <sz val="11"/>
        <color rgb="FF000000"/>
        <rFont val="Calibri"/>
        <family val="2"/>
        <charset val="1"/>
      </rPr>
      <t xml:space="preserve">k</t>
    </r>
    <r>
      <rPr>
        <b val="true"/>
        <vertAlign val="subscript"/>
        <sz val="11"/>
        <color rgb="FF000000"/>
        <rFont val="Calibri"/>
        <family val="2"/>
        <charset val="1"/>
      </rPr>
      <t xml:space="preserve">1</t>
    </r>
  </si>
  <si>
    <r>
      <rPr>
        <b val="true"/>
        <sz val="11"/>
        <color rgb="FF000000"/>
        <rFont val="Calibri"/>
        <family val="2"/>
        <charset val="1"/>
      </rPr>
      <t xml:space="preserve">C</t>
    </r>
    <r>
      <rPr>
        <b val="true"/>
        <vertAlign val="subscript"/>
        <sz val="11"/>
        <color rgb="FF000000"/>
        <rFont val="Calibri"/>
        <family val="2"/>
        <charset val="1"/>
      </rPr>
      <t xml:space="preserve">1</t>
    </r>
    <r>
      <rPr>
        <b val="true"/>
        <sz val="11"/>
        <color rgb="FF000000"/>
        <rFont val="Calibri"/>
        <family val="2"/>
        <charset val="1"/>
      </rPr>
      <t xml:space="preserve">=k</t>
    </r>
    <r>
      <rPr>
        <b val="true"/>
        <vertAlign val="subscript"/>
        <sz val="11"/>
        <color rgb="FF000000"/>
        <rFont val="Calibri"/>
        <family val="2"/>
        <charset val="1"/>
      </rPr>
      <t xml:space="preserve">1</t>
    </r>
    <r>
      <rPr>
        <b val="true"/>
        <sz val="11"/>
        <color rgb="FF000000"/>
        <rFont val="Calibri"/>
        <family val="2"/>
        <charset val="1"/>
      </rPr>
      <t xml:space="preserve">*(t</t>
    </r>
    <r>
      <rPr>
        <b val="true"/>
        <vertAlign val="superscript"/>
        <sz val="11"/>
        <color rgb="FF000000"/>
        <rFont val="Calibri"/>
        <family val="2"/>
        <charset val="1"/>
      </rPr>
      <t xml:space="preserve">0,5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</si>
  <si>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Calibri"/>
        <family val="2"/>
        <charset val="1"/>
      </rPr>
      <t xml:space="preserve">∑</t>
    </r>
    <r>
      <rPr>
        <vertAlign val="subscript"/>
        <sz val="11"/>
        <color rgb="FF000000"/>
        <rFont val="Calibri"/>
        <family val="2"/>
        <charset val="1"/>
      </rPr>
      <t xml:space="preserve">1</t>
    </r>
    <r>
      <rPr>
        <b val="true"/>
        <sz val="11"/>
        <color rgb="FF000000"/>
        <rFont val="Calibri"/>
        <family val="2"/>
        <charset val="1"/>
      </rPr>
      <t xml:space="preserve">([c]-C</t>
    </r>
    <r>
      <rPr>
        <b val="true"/>
        <vertAlign val="subscript"/>
        <sz val="11"/>
        <color rgb="FF000000"/>
        <rFont val="Calibri"/>
        <family val="2"/>
        <charset val="1"/>
      </rPr>
      <t xml:space="preserve">1</t>
    </r>
    <r>
      <rPr>
        <b val="true"/>
        <sz val="11"/>
        <color rgb="FF000000"/>
        <rFont val="Calibri"/>
        <family val="2"/>
        <charset val="1"/>
      </rPr>
      <t xml:space="preserve">)</t>
    </r>
    <r>
      <rPr>
        <b val="true"/>
        <vertAlign val="superscript"/>
        <sz val="11"/>
        <color rgb="FF000000"/>
        <rFont val="Calibri"/>
        <family val="2"/>
        <charset val="1"/>
      </rPr>
      <t xml:space="preserve">2</t>
    </r>
  </si>
  <si>
    <r>
      <rPr>
        <b val="true"/>
        <sz val="11"/>
        <color rgb="FF000000"/>
        <rFont val="Calibri"/>
        <family val="2"/>
        <charset val="1"/>
      </rPr>
      <t xml:space="preserve">k</t>
    </r>
    <r>
      <rPr>
        <b val="true"/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</si>
  <si>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b val="true"/>
        <sz val="11"/>
        <color rgb="FF000000"/>
        <rFont val="Calibri"/>
        <family val="2"/>
        <charset val="1"/>
      </rPr>
      <t xml:space="preserve">C</t>
    </r>
    <r>
      <rPr>
        <b val="true"/>
        <vertAlign val="subscript"/>
        <sz val="11"/>
        <color rgb="FF000000"/>
        <rFont val="Calibri"/>
        <family val="2"/>
        <charset val="1"/>
      </rPr>
      <t xml:space="preserve">2</t>
    </r>
    <r>
      <rPr>
        <b val="true"/>
        <sz val="11"/>
        <color rgb="FF000000"/>
        <rFont val="Calibri"/>
        <family val="2"/>
        <charset val="1"/>
      </rPr>
      <t xml:space="preserve">=k</t>
    </r>
    <r>
      <rPr>
        <b val="true"/>
        <vertAlign val="subscript"/>
        <sz val="11"/>
        <color rgb="FF000000"/>
        <rFont val="Calibri"/>
        <family val="2"/>
        <charset val="1"/>
      </rPr>
      <t xml:space="preserve">2</t>
    </r>
    <r>
      <rPr>
        <b val="true"/>
        <sz val="11"/>
        <color rgb="FF000000"/>
        <rFont val="Calibri"/>
        <family val="2"/>
        <charset val="1"/>
      </rPr>
      <t xml:space="preserve">*(t</t>
    </r>
    <r>
      <rPr>
        <b val="true"/>
        <vertAlign val="superscript"/>
        <sz val="11"/>
        <color rgb="FF000000"/>
        <rFont val="Calibri"/>
        <family val="2"/>
        <charset val="1"/>
      </rPr>
      <t xml:space="preserve">n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</si>
  <si>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Calibri"/>
        <family val="2"/>
        <charset val="1"/>
      </rPr>
      <t xml:space="preserve">∑</t>
    </r>
    <r>
      <rPr>
        <b val="true"/>
        <vertAlign val="subscript"/>
        <sz val="11"/>
        <color rgb="FF000000"/>
        <rFont val="Calibri"/>
        <family val="2"/>
        <charset val="1"/>
      </rPr>
      <t xml:space="preserve">2</t>
    </r>
    <r>
      <rPr>
        <b val="true"/>
        <sz val="11"/>
        <color rgb="FF000000"/>
        <rFont val="Calibri"/>
        <family val="2"/>
        <charset val="1"/>
      </rPr>
      <t xml:space="preserve">([c]-C</t>
    </r>
    <r>
      <rPr>
        <b val="true"/>
        <vertAlign val="subscript"/>
        <sz val="11"/>
        <color rgb="FF000000"/>
        <rFont val="Calibri"/>
        <family val="2"/>
        <charset val="1"/>
      </rPr>
      <t xml:space="preserve">2</t>
    </r>
    <r>
      <rPr>
        <b val="true"/>
        <sz val="11"/>
        <color rgb="FF000000"/>
        <rFont val="Calibri"/>
        <family val="2"/>
        <charset val="1"/>
      </rPr>
      <t xml:space="preserve">)</t>
    </r>
    <r>
      <rPr>
        <b val="true"/>
        <vertAlign val="superscript"/>
        <sz val="11"/>
        <color rgb="FF000000"/>
        <rFont val="Calibri"/>
        <family val="2"/>
        <charset val="1"/>
      </rPr>
      <t xml:space="preserve">2</t>
    </r>
  </si>
  <si>
    <t xml:space="preserve">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</si>
</sst>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00000000E+00"/>
    <numFmt numFmtId="167" formatCode="0.00000000E+00"/>
    <numFmt numFmtId="168" formatCode="0.0"/>
    <numFmt numFmtId="169" formatCode="0"/>
    <numFmt numFmtId="170" formatCode="0.00"/>
    <numFmt numFmtId="171" formatCode="0.00E+0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vertAlign val="subscript"/>
      <sz val="11"/>
      <color rgb="FF00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9"/>
      <color rgb="00FFFFFE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E2F0D9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C000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00FFFFFE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2CC"/>
      <rgbColor rgb="FFDAE3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Título del gráfico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"Korsmeyer Peppas"</c:f>
              <c:strCache>
                <c:ptCount val="1"/>
                <c:pt idx="0">
                  <c:v>Korsmeyer Peppas</c:v>
                </c:pt>
              </c:strCache>
            </c:strRef>
          </c:tx>
          <c:spPr>
            <a:solidFill>
              <a:srgbClr val="e2f0d9"/>
            </a:solidFill>
            <a:ln cap="rnd" w="22320">
              <a:solidFill>
                <a:srgbClr val="e2f0d9"/>
              </a:solidFill>
              <a:round/>
            </a:ln>
          </c:spPr>
          <c:marker>
            <c:symbol val="circle"/>
            <c:size val="6"/>
            <c:spPr>
              <a:solidFill>
                <a:srgbClr val="e2f0d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Datos!$A$2:$A$18</c:f>
              <c:strCache>
                <c:ptCount val="1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</c:strCache>
            </c:strRef>
          </c:cat>
          <c:val>
            <c:numRef>
              <c:f>Datos!$L$2:$L$18</c:f>
              <c:numCache>
                <c:formatCode>General</c:formatCode>
                <c:ptCount val="17"/>
                <c:pt idx="0">
                  <c:v>0</c:v>
                </c:pt>
                <c:pt idx="1">
                  <c:v>2.13779042239696E-007</c:v>
                </c:pt>
                <c:pt idx="2">
                  <c:v>4.69500737219831E-007</c:v>
                </c:pt>
                <c:pt idx="3">
                  <c:v>7.43876929469254E-007</c:v>
                </c:pt>
                <c:pt idx="4">
                  <c:v>1.0311157723441E-006</c:v>
                </c:pt>
                <c:pt idx="5">
                  <c:v>1.32831468184941E-006</c:v>
                </c:pt>
                <c:pt idx="6">
                  <c:v>1.63369974496868E-006</c:v>
                </c:pt>
                <c:pt idx="7">
                  <c:v>1.94606488351626E-006</c:v>
                </c:pt>
                <c:pt idx="8">
                  <c:v>2.26453262304239E-006</c:v>
                </c:pt>
                <c:pt idx="9">
                  <c:v>2.58843374167693E-006</c:v>
                </c:pt>
                <c:pt idx="10">
                  <c:v>2.91723976239436E-006</c:v>
                </c:pt>
                <c:pt idx="11">
                  <c:v>3.25052201474066E-006</c:v>
                </c:pt>
                <c:pt idx="12">
                  <c:v>3.58792530185739E-006</c:v>
                </c:pt>
                <c:pt idx="13">
                  <c:v>3.92915016069433E-006</c:v>
                </c:pt>
                <c:pt idx="14">
                  <c:v>4.2739404570073E-006</c:v>
                </c:pt>
                <c:pt idx="15">
                  <c:v>4.62207443980958E-006</c:v>
                </c:pt>
                <c:pt idx="16">
                  <c:v>4.97335812172208E-006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"Higuchi"</c:f>
              <c:strCache>
                <c:ptCount val="1"/>
                <c:pt idx="0">
                  <c:v>Higuchi</c:v>
                </c:pt>
              </c:strCache>
            </c:strRef>
          </c:tx>
          <c:spPr>
            <a:solidFill>
              <a:srgbClr val="dae3f3"/>
            </a:solidFill>
            <a:ln cap="rnd" w="22320">
              <a:solidFill>
                <a:srgbClr val="dae3f3"/>
              </a:solidFill>
              <a:round/>
            </a:ln>
          </c:spPr>
          <c:marker>
            <c:symbol val="circle"/>
            <c:size val="6"/>
            <c:spPr>
              <a:solidFill>
                <a:srgbClr val="dae3f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Datos!$A$2:$A$18</c:f>
              <c:strCache>
                <c:ptCount val="1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</c:strCache>
            </c:strRef>
          </c:cat>
          <c:val>
            <c:numRef>
              <c:f>Datos!$H$2:$H$18</c:f>
              <c:numCache>
                <c:formatCode>General</c:formatCode>
                <c:ptCount val="17"/>
                <c:pt idx="0">
                  <c:v>0</c:v>
                </c:pt>
                <c:pt idx="1">
                  <c:v>9.72307050707039E-007</c:v>
                </c:pt>
                <c:pt idx="2">
                  <c:v>1.37504981790088E-006</c:v>
                </c:pt>
                <c:pt idx="3">
                  <c:v>1.68408521238204E-006</c:v>
                </c:pt>
                <c:pt idx="4">
                  <c:v>1.94461410141408E-006</c:v>
                </c:pt>
                <c:pt idx="5">
                  <c:v>2.17414466038327E-006</c:v>
                </c:pt>
                <c:pt idx="6">
                  <c:v>2.38165614754266E-006</c:v>
                </c:pt>
                <c:pt idx="7">
                  <c:v>2.57248265416549E-006</c:v>
                </c:pt>
                <c:pt idx="8">
                  <c:v>2.75009963580176E-006</c:v>
                </c:pt>
                <c:pt idx="9">
                  <c:v>2.91692115212112E-006</c:v>
                </c:pt>
                <c:pt idx="10">
                  <c:v>3.07470486527507E-006</c:v>
                </c:pt>
                <c:pt idx="11">
                  <c:v>3.22477766821231E-006</c:v>
                </c:pt>
                <c:pt idx="12">
                  <c:v>3.36817042476408E-006</c:v>
                </c:pt>
                <c:pt idx="13">
                  <c:v>3.50570292681939E-006</c:v>
                </c:pt>
                <c:pt idx="14">
                  <c:v>3.63803985849038E-006</c:v>
                </c:pt>
                <c:pt idx="15">
                  <c:v>3.76572901478841E-006</c:v>
                </c:pt>
                <c:pt idx="16">
                  <c:v>3.88922820282816E-006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4043949"/>
        <c:axId val="72538695"/>
      </c:lineChart>
      <c:lineChart>
        <c:grouping val="standard"/>
        <c:varyColors val="0"/>
        <c:ser>
          <c:idx val="2"/>
          <c:order val="2"/>
          <c:tx>
            <c:strRef>
              <c:f>Datos!$C$1</c:f>
              <c:strCache>
                <c:ptCount val="1"/>
                <c:pt idx="0">
                  <c:v>[c]</c:v>
                </c:pt>
              </c:strCache>
            </c:strRef>
          </c:tx>
          <c:spPr>
            <a:solidFill>
              <a:srgbClr val="c00000"/>
            </a:solidFill>
            <a:ln cap="rnd" w="19080">
              <a:solidFill>
                <a:srgbClr val="c00000"/>
              </a:solidFill>
              <a:round/>
            </a:ln>
          </c:spPr>
          <c:marker>
            <c:symbol val="square"/>
            <c:size val="6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Datos!$A$2:$A$18</c:f>
              <c:strCache>
                <c:ptCount val="1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</c:strCache>
            </c:strRef>
          </c:cat>
          <c:val>
            <c:numRef>
              <c:f>Datos!$C$2:$C$18</c:f>
              <c:numCache>
                <c:formatCode>General</c:formatCode>
                <c:ptCount val="17"/>
                <c:pt idx="0">
                  <c:v>7.19424460431655E-008</c:v>
                </c:pt>
                <c:pt idx="1">
                  <c:v>1.07913669064748E-006</c:v>
                </c:pt>
                <c:pt idx="2">
                  <c:v>1.00719424460432E-006</c:v>
                </c:pt>
                <c:pt idx="3">
                  <c:v>7.9136690647482E-007</c:v>
                </c:pt>
                <c:pt idx="4">
                  <c:v>9.35251798561151E-007</c:v>
                </c:pt>
                <c:pt idx="5">
                  <c:v>1.29496402877698E-006</c:v>
                </c:pt>
                <c:pt idx="6">
                  <c:v>9.35251798561151E-007</c:v>
                </c:pt>
                <c:pt idx="7">
                  <c:v>1.29496402877698E-006</c:v>
                </c:pt>
                <c:pt idx="8">
                  <c:v>2.44604316546763E-006</c:v>
                </c:pt>
                <c:pt idx="9">
                  <c:v>2.51798561151079E-006</c:v>
                </c:pt>
                <c:pt idx="10">
                  <c:v>3.30935251798561E-006</c:v>
                </c:pt>
                <c:pt idx="11">
                  <c:v>3.59712230215827E-006</c:v>
                </c:pt>
                <c:pt idx="12">
                  <c:v>3.81294964028777E-006</c:v>
                </c:pt>
                <c:pt idx="13">
                  <c:v>3.9568345323741E-006</c:v>
                </c:pt>
                <c:pt idx="14">
                  <c:v>4.31654676258993E-006</c:v>
                </c:pt>
                <c:pt idx="15">
                  <c:v>4.74820143884892E-006</c:v>
                </c:pt>
                <c:pt idx="16">
                  <c:v>4.74820143884892E-006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4344070"/>
        <c:axId val="31073965"/>
      </c:lineChart>
      <c:catAx>
        <c:axId val="740439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s-ES" sz="1000" spc="-1" strike="noStrike">
                    <a:solidFill>
                      <a:srgbClr val="595959"/>
                    </a:solidFill>
                    <a:latin typeface="Calibri"/>
                  </a:rPr>
                  <a:t>Tiempo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538695"/>
        <c:crosses val="min"/>
        <c:auto val="1"/>
        <c:lblAlgn val="ctr"/>
        <c:lblOffset val="100"/>
        <c:noMultiLvlLbl val="0"/>
      </c:catAx>
      <c:valAx>
        <c:axId val="72538695"/>
        <c:scaling>
          <c:orientation val="minMax"/>
          <c:max val="5E-006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s-ES" sz="1000" spc="-1" strike="noStrike">
                    <a:solidFill>
                      <a:srgbClr val="595959"/>
                    </a:solidFill>
                    <a:latin typeface="Calibri"/>
                  </a:rPr>
                  <a:t>Concentración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solidFill>
              <a:srgbClr val="a6a6a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043949"/>
        <c:crosses val="autoZero"/>
        <c:crossBetween val="midCat"/>
      </c:valAx>
      <c:catAx>
        <c:axId val="34344070"/>
        <c:scaling>
          <c:orientation val="minMax"/>
        </c:scaling>
        <c:delete val="1"/>
        <c:axPos val="t"/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fffffe"/>
                </a:solidFill>
                <a:latin typeface="Calibri"/>
              </a:defRPr>
            </a:pPr>
          </a:p>
        </c:txPr>
        <c:crossAx val="31073965"/>
        <c:auto val="1"/>
        <c:lblAlgn val="ctr"/>
        <c:lblOffset val="100"/>
        <c:noMultiLvlLbl val="0"/>
      </c:catAx>
      <c:valAx>
        <c:axId val="31073965"/>
        <c:scaling>
          <c:orientation val="minMax"/>
        </c:scaling>
        <c:delete val="1"/>
        <c:axPos val="r"/>
        <c:numFmt formatCode="0.00000000E+00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44070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35038125348708"/>
          <c:y val="0.716392697030732"/>
          <c:w val="0.13706527803608"/>
          <c:h val="0.117991033721006"/>
        </c:manualLayout>
      </c:layout>
      <c:overlay val="1"/>
      <c:spPr>
        <a:noFill/>
        <a:ln w="6480">
          <a:solidFill>
            <a:srgbClr val="bfbfbf"/>
          </a:solidFill>
          <a:round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305640</xdr:colOff>
      <xdr:row>19</xdr:row>
      <xdr:rowOff>720</xdr:rowOff>
    </xdr:from>
    <xdr:to>
      <xdr:col>12</xdr:col>
      <xdr:colOff>1346040</xdr:colOff>
      <xdr:row>48</xdr:row>
      <xdr:rowOff>16920</xdr:rowOff>
    </xdr:to>
    <xdr:graphicFrame>
      <xdr:nvGraphicFramePr>
        <xdr:cNvPr id="0" name="Gráfico 1"/>
        <xdr:cNvGraphicFramePr/>
      </xdr:nvGraphicFramePr>
      <xdr:xfrm>
        <a:off x="3620520" y="3705840"/>
        <a:ext cx="8517960" cy="554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" displayName="A" ref="B1:B18" headerRowCount="1" totalsRowCount="0" totalsRowShown="0">
  <autoFilter ref="B1:B18">
    <filterColumn colId="0" hiddenButton="1"/>
  </autoFilter>
  <tableColumns count="1">
    <tableColumn id="1" name="A"/>
  </tableColumns>
</table>
</file>

<file path=xl/tables/table6.xml><?xml version="1.0" encoding="utf-8"?>
<table xmlns="http://schemas.openxmlformats.org/spreadsheetml/2006/main" id="6" name="tiempo" displayName="tiempo" ref="A1:A18" headerRowCount="1" totalsRowCount="0" totalsRowShown="0">
  <autoFilter ref="A1:A18">
    <filterColumn colId="0" hiddenButton="1"/>
  </autoFilter>
  <tableColumns count="1">
    <tableColumn id="1" name="tiempo"/>
  </tableColumns>
</table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18" activeCellId="0" sqref="F18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7.43"/>
    <col collapsed="false" customWidth="true" hidden="false" outlineLevel="0" max="2" min="2" style="1" width="5.57"/>
    <col collapsed="false" customWidth="true" hidden="false" outlineLevel="0" max="3" min="3" style="2" width="14.57"/>
    <col collapsed="false" customWidth="true" hidden="false" outlineLevel="0" max="4" min="4" style="0" width="3.57"/>
    <col collapsed="false" customWidth="true" hidden="false" outlineLevel="0" max="5" min="5" style="0" width="6.14"/>
    <col collapsed="false" customWidth="true" hidden="false" outlineLevel="0" max="6" min="6" style="3" width="3.71"/>
    <col collapsed="false" customWidth="true" hidden="false" outlineLevel="0" max="7" min="7" style="3" width="15"/>
    <col collapsed="false" customWidth="true" hidden="false" outlineLevel="0" max="8" min="8" style="0" width="15.54"/>
    <col collapsed="false" customWidth="true" hidden="false" outlineLevel="0" max="9" min="9" style="0" width="15.14"/>
    <col collapsed="false" customWidth="true" hidden="false" outlineLevel="0" max="10" min="10" style="0" width="3.71"/>
    <col collapsed="false" customWidth="true" hidden="false" outlineLevel="0" max="11" min="11" style="0" width="14.57"/>
    <col collapsed="false" customWidth="true" hidden="false" outlineLevel="0" max="12" min="12" style="0" width="16.43"/>
    <col collapsed="false" customWidth="true" hidden="false" outlineLevel="0" max="13" min="13" style="0" width="15.14"/>
  </cols>
  <sheetData>
    <row r="1" customFormat="false" ht="18.75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G1" s="7" t="s">
        <v>5</v>
      </c>
      <c r="H1" s="8" t="s">
        <v>6</v>
      </c>
      <c r="I1" s="8" t="s">
        <v>7</v>
      </c>
      <c r="K1" s="7" t="s">
        <v>8</v>
      </c>
      <c r="L1" s="8" t="s">
        <v>9</v>
      </c>
      <c r="M1" s="8" t="s">
        <v>10</v>
      </c>
    </row>
    <row r="2" customFormat="false" ht="15" hidden="false" customHeight="false" outlineLevel="0" collapsed="false">
      <c r="A2" s="9" t="n">
        <v>0</v>
      </c>
      <c r="B2" s="10" t="n">
        <v>0.001</v>
      </c>
      <c r="C2" s="11" t="n">
        <f aca="false">(A[]/(b*epsilon))</f>
        <v>7.19424460431655E-008</v>
      </c>
      <c r="D2" s="12" t="n">
        <v>1</v>
      </c>
      <c r="E2" s="13" t="n">
        <v>13900</v>
      </c>
      <c r="G2" s="14" t="n">
        <v>6.8752490895044E-007</v>
      </c>
      <c r="H2" s="15" t="n">
        <f aca="false">(k_1*(tiempo[]^0.5))</f>
        <v>0</v>
      </c>
      <c r="I2" s="14" t="n">
        <f aca="false">SUMXMY2(c_0,c_1)</f>
        <v>9.47486913370639E-012</v>
      </c>
      <c r="K2" s="14" t="n">
        <v>9.73405902864924E-008</v>
      </c>
      <c r="L2" s="15" t="n">
        <f aca="false">(k_2*(tiempo[]^n_2))</f>
        <v>0</v>
      </c>
      <c r="M2" s="14" t="n">
        <f aca="false">SUMXMY2(c_0,c_2)</f>
        <v>2.39906762012947E-012</v>
      </c>
    </row>
    <row r="3" customFormat="false" ht="18" hidden="false" customHeight="false" outlineLevel="0" collapsed="false">
      <c r="A3" s="9" t="n">
        <v>2</v>
      </c>
      <c r="B3" s="16" t="n">
        <v>0.015</v>
      </c>
      <c r="C3" s="17" t="n">
        <f aca="false">(A[]/(b*epsilon))</f>
        <v>1.07913669064748E-006</v>
      </c>
      <c r="G3" s="18"/>
      <c r="H3" s="15" t="n">
        <f aca="false">(k_1*(tiempo[]^0.5))</f>
        <v>9.72307050707039E-007</v>
      </c>
      <c r="I3" s="19"/>
      <c r="K3" s="7" t="s">
        <v>11</v>
      </c>
      <c r="L3" s="15" t="n">
        <f aca="false">(k_2*(tiempo[]^n_2))</f>
        <v>2.13779042239696E-007</v>
      </c>
      <c r="M3" s="19"/>
    </row>
    <row r="4" customFormat="false" ht="15" hidden="false" customHeight="false" outlineLevel="0" collapsed="false">
      <c r="A4" s="9" t="n">
        <v>4</v>
      </c>
      <c r="B4" s="16" t="n">
        <v>0.014</v>
      </c>
      <c r="C4" s="17" t="n">
        <f aca="false">(A[]/(b*epsilon))</f>
        <v>1.00719424460432E-006</v>
      </c>
      <c r="G4" s="18"/>
      <c r="H4" s="15" t="n">
        <f aca="false">(k_1*(tiempo[]^0.5))</f>
        <v>1.37504981790088E-006</v>
      </c>
      <c r="I4" s="20"/>
      <c r="K4" s="21" t="n">
        <v>1.13500699738868</v>
      </c>
      <c r="L4" s="15" t="n">
        <f aca="false">(k_2*(tiempo[]^n_2))</f>
        <v>4.69500737219831E-007</v>
      </c>
      <c r="M4" s="20"/>
    </row>
    <row r="5" customFormat="false" ht="15" hidden="false" customHeight="false" outlineLevel="0" collapsed="false">
      <c r="A5" s="9" t="n">
        <v>6</v>
      </c>
      <c r="B5" s="16" t="n">
        <v>0.011</v>
      </c>
      <c r="C5" s="17" t="n">
        <f aca="false">(A[]/(b*epsilon))</f>
        <v>7.9136690647482E-007</v>
      </c>
      <c r="G5" s="18"/>
      <c r="H5" s="15" t="n">
        <f aca="false">(k_1*(tiempo[]^0.5))</f>
        <v>1.68408521238204E-006</v>
      </c>
      <c r="I5" s="20"/>
      <c r="K5" s="18"/>
      <c r="L5" s="15" t="n">
        <f aca="false">(k_2*(tiempo[]^n_2))</f>
        <v>7.43876929469254E-007</v>
      </c>
      <c r="M5" s="20"/>
    </row>
    <row r="6" customFormat="false" ht="15" hidden="false" customHeight="false" outlineLevel="0" collapsed="false">
      <c r="A6" s="9" t="n">
        <v>8</v>
      </c>
      <c r="B6" s="16" t="n">
        <v>0.013</v>
      </c>
      <c r="C6" s="17" t="n">
        <f aca="false">(A[]/(b*epsilon))</f>
        <v>9.35251798561151E-007</v>
      </c>
      <c r="G6" s="18"/>
      <c r="H6" s="15" t="n">
        <f aca="false">(k_1*(tiempo[]^0.5))</f>
        <v>1.94461410141408E-006</v>
      </c>
      <c r="I6" s="20"/>
      <c r="K6" s="18"/>
      <c r="L6" s="15" t="n">
        <f aca="false">(k_2*(tiempo[]^n_2))</f>
        <v>1.0311157723441E-006</v>
      </c>
      <c r="M6" s="20"/>
    </row>
    <row r="7" customFormat="false" ht="15" hidden="false" customHeight="false" outlineLevel="0" collapsed="false">
      <c r="A7" s="9" t="n">
        <v>10</v>
      </c>
      <c r="B7" s="16" t="n">
        <v>0.018</v>
      </c>
      <c r="C7" s="17" t="n">
        <f aca="false">(A[]/(b*epsilon))</f>
        <v>1.29496402877698E-006</v>
      </c>
      <c r="G7" s="18"/>
      <c r="H7" s="15" t="n">
        <f aca="false">(k_1*(tiempo[]^0.5))</f>
        <v>2.17414466038327E-006</v>
      </c>
      <c r="I7" s="20"/>
      <c r="K7" s="18"/>
      <c r="L7" s="15" t="n">
        <f aca="false">(k_2*(tiempo[]^n_2))</f>
        <v>1.32831468184941E-006</v>
      </c>
      <c r="M7" s="20"/>
    </row>
    <row r="8" customFormat="false" ht="15" hidden="false" customHeight="false" outlineLevel="0" collapsed="false">
      <c r="A8" s="9" t="n">
        <v>12</v>
      </c>
      <c r="B8" s="16" t="n">
        <v>0.013</v>
      </c>
      <c r="C8" s="17" t="n">
        <f aca="false">(A[]/(b*epsilon))</f>
        <v>9.35251798561151E-007</v>
      </c>
      <c r="G8" s="18"/>
      <c r="H8" s="15" t="n">
        <f aca="false">(k_1*(tiempo[]^0.5))</f>
        <v>2.38165614754266E-006</v>
      </c>
      <c r="I8" s="20"/>
      <c r="K8" s="18"/>
      <c r="L8" s="15" t="n">
        <f aca="false">(k_2*(tiempo[]^n_2))</f>
        <v>1.63369974496868E-006</v>
      </c>
      <c r="M8" s="20"/>
    </row>
    <row r="9" customFormat="false" ht="15" hidden="false" customHeight="false" outlineLevel="0" collapsed="false">
      <c r="A9" s="9" t="n">
        <v>14</v>
      </c>
      <c r="B9" s="16" t="n">
        <v>0.018</v>
      </c>
      <c r="C9" s="17" t="n">
        <f aca="false">(A[]/(b*epsilon))</f>
        <v>1.29496402877698E-006</v>
      </c>
      <c r="G9" s="18"/>
      <c r="H9" s="15" t="n">
        <f aca="false">(k_1*(tiempo[]^0.5))</f>
        <v>2.57248265416549E-006</v>
      </c>
      <c r="I9" s="20"/>
      <c r="K9" s="18"/>
      <c r="L9" s="15" t="n">
        <f aca="false">(k_2*(tiempo[]^n_2))</f>
        <v>1.94606488351626E-006</v>
      </c>
      <c r="M9" s="20"/>
    </row>
    <row r="10" customFormat="false" ht="15" hidden="false" customHeight="false" outlineLevel="0" collapsed="false">
      <c r="A10" s="9" t="n">
        <v>16</v>
      </c>
      <c r="B10" s="16" t="n">
        <v>0.034</v>
      </c>
      <c r="C10" s="17" t="n">
        <f aca="false">(A[]/(b*epsilon))</f>
        <v>2.44604316546763E-006</v>
      </c>
      <c r="G10" s="18"/>
      <c r="H10" s="15" t="n">
        <f aca="false">(k_1*(tiempo[]^0.5))</f>
        <v>2.75009963580176E-006</v>
      </c>
      <c r="I10" s="20"/>
      <c r="K10" s="18"/>
      <c r="L10" s="15" t="n">
        <f aca="false">(k_2*(tiempo[]^n_2))</f>
        <v>2.26453262304239E-006</v>
      </c>
      <c r="M10" s="20"/>
    </row>
    <row r="11" customFormat="false" ht="15" hidden="false" customHeight="false" outlineLevel="0" collapsed="false">
      <c r="A11" s="9" t="n">
        <v>18</v>
      </c>
      <c r="B11" s="16" t="n">
        <v>0.035</v>
      </c>
      <c r="C11" s="17" t="n">
        <f aca="false">(A[]/(b*epsilon))</f>
        <v>2.51798561151079E-006</v>
      </c>
      <c r="G11" s="18"/>
      <c r="H11" s="15" t="n">
        <f aca="false">(k_1*(tiempo[]^0.5))</f>
        <v>2.91692115212112E-006</v>
      </c>
      <c r="I11" s="20"/>
      <c r="K11" s="18"/>
      <c r="L11" s="15" t="n">
        <f aca="false">(k_2*(tiempo[]^n_2))</f>
        <v>2.58843374167693E-006</v>
      </c>
      <c r="M11" s="20"/>
    </row>
    <row r="12" customFormat="false" ht="15" hidden="false" customHeight="false" outlineLevel="0" collapsed="false">
      <c r="A12" s="9" t="n">
        <v>20</v>
      </c>
      <c r="B12" s="16" t="n">
        <v>0.046</v>
      </c>
      <c r="C12" s="17" t="n">
        <f aca="false">(A[]/(b*epsilon))</f>
        <v>3.30935251798561E-006</v>
      </c>
      <c r="G12" s="18"/>
      <c r="H12" s="15" t="n">
        <f aca="false">(k_1*(tiempo[]^0.5))</f>
        <v>3.07470486527507E-006</v>
      </c>
      <c r="I12" s="20"/>
      <c r="K12" s="18"/>
      <c r="L12" s="15" t="n">
        <f aca="false">(k_2*(tiempo[]^n_2))</f>
        <v>2.91723976239436E-006</v>
      </c>
      <c r="M12" s="20"/>
    </row>
    <row r="13" customFormat="false" ht="15" hidden="false" customHeight="false" outlineLevel="0" collapsed="false">
      <c r="A13" s="9" t="n">
        <v>22</v>
      </c>
      <c r="B13" s="16" t="n">
        <v>0.05</v>
      </c>
      <c r="C13" s="17" t="n">
        <f aca="false">(A[]/(b*epsilon))</f>
        <v>3.59712230215827E-006</v>
      </c>
      <c r="G13" s="18"/>
      <c r="H13" s="15" t="n">
        <f aca="false">(k_1*(tiempo[]^0.5))</f>
        <v>3.22477766821231E-006</v>
      </c>
      <c r="I13" s="20"/>
      <c r="K13" s="18"/>
      <c r="L13" s="15" t="n">
        <f aca="false">(k_2*(tiempo[]^n_2))</f>
        <v>3.25052201474066E-006</v>
      </c>
      <c r="M13" s="20"/>
    </row>
    <row r="14" customFormat="false" ht="15" hidden="false" customHeight="false" outlineLevel="0" collapsed="false">
      <c r="A14" s="9" t="n">
        <v>24</v>
      </c>
      <c r="B14" s="16" t="n">
        <v>0.053</v>
      </c>
      <c r="C14" s="17" t="n">
        <f aca="false">(A[]/(b*epsilon))</f>
        <v>3.81294964028777E-006</v>
      </c>
      <c r="G14" s="18"/>
      <c r="H14" s="15" t="n">
        <f aca="false">(k_1*(tiempo[]^0.5))</f>
        <v>3.36817042476408E-006</v>
      </c>
      <c r="I14" s="20"/>
      <c r="K14" s="18"/>
      <c r="L14" s="15" t="n">
        <f aca="false">(k_2*(tiempo[]^n_2))</f>
        <v>3.58792530185739E-006</v>
      </c>
      <c r="M14" s="20"/>
    </row>
    <row r="15" customFormat="false" ht="15" hidden="false" customHeight="false" outlineLevel="0" collapsed="false">
      <c r="A15" s="9" t="n">
        <v>26</v>
      </c>
      <c r="B15" s="16" t="n">
        <v>0.055</v>
      </c>
      <c r="C15" s="17" t="n">
        <f aca="false">(A[]/(b*epsilon))</f>
        <v>3.9568345323741E-006</v>
      </c>
      <c r="G15" s="18"/>
      <c r="H15" s="15" t="n">
        <f aca="false">(k_1*(tiempo[]^0.5))</f>
        <v>3.50570292681939E-006</v>
      </c>
      <c r="I15" s="20"/>
      <c r="K15" s="18"/>
      <c r="L15" s="15" t="n">
        <f aca="false">(k_2*(tiempo[]^n_2))</f>
        <v>3.92915016069433E-006</v>
      </c>
      <c r="M15" s="20"/>
    </row>
    <row r="16" customFormat="false" ht="15" hidden="false" customHeight="false" outlineLevel="0" collapsed="false">
      <c r="A16" s="9" t="n">
        <v>28</v>
      </c>
      <c r="B16" s="16" t="n">
        <v>0.06</v>
      </c>
      <c r="C16" s="17" t="n">
        <f aca="false">(A[]/(b*epsilon))</f>
        <v>4.31654676258993E-006</v>
      </c>
      <c r="G16" s="18"/>
      <c r="H16" s="15" t="n">
        <f aca="false">(k_1*(tiempo[]^0.5))</f>
        <v>3.63803985849038E-006</v>
      </c>
      <c r="I16" s="20"/>
      <c r="K16" s="18"/>
      <c r="L16" s="15" t="n">
        <f aca="false">(k_2*(tiempo[]^n_2))</f>
        <v>4.2739404570073E-006</v>
      </c>
      <c r="M16" s="20"/>
    </row>
    <row r="17" customFormat="false" ht="15" hidden="false" customHeight="false" outlineLevel="0" collapsed="false">
      <c r="A17" s="9" t="n">
        <v>30</v>
      </c>
      <c r="B17" s="16" t="n">
        <v>0.066</v>
      </c>
      <c r="C17" s="17" t="n">
        <f aca="false">(A[]/(b*epsilon))</f>
        <v>4.74820143884892E-006</v>
      </c>
      <c r="G17" s="18"/>
      <c r="H17" s="15" t="n">
        <f aca="false">(k_1*(tiempo[]^0.5))</f>
        <v>3.76572901478841E-006</v>
      </c>
      <c r="I17" s="20"/>
      <c r="K17" s="18"/>
      <c r="L17" s="15" t="n">
        <f aca="false">(k_2*(tiempo[]^n_2))</f>
        <v>4.62207443980958E-006</v>
      </c>
      <c r="M17" s="20"/>
    </row>
    <row r="18" customFormat="false" ht="15" hidden="false" customHeight="false" outlineLevel="0" collapsed="false">
      <c r="A18" s="9" t="n">
        <v>32</v>
      </c>
      <c r="B18" s="22" t="n">
        <v>0.066</v>
      </c>
      <c r="C18" s="23" t="n">
        <f aca="false">(A[]/(b*epsilon))</f>
        <v>4.74820143884892E-006</v>
      </c>
      <c r="G18" s="18"/>
      <c r="H18" s="24" t="n">
        <f aca="false">(k_1*(tiempo[]^0.5))</f>
        <v>3.88922820282816E-006</v>
      </c>
      <c r="I18" s="20"/>
      <c r="K18" s="18"/>
      <c r="L18" s="24" t="n">
        <f aca="false">(k_2*(tiempo[]^n_2))</f>
        <v>4.97335812172208E-006</v>
      </c>
      <c r="M18" s="20"/>
    </row>
    <row r="19" customFormat="false" ht="15" hidden="false" customHeight="false" outlineLevel="0" collapsed="false">
      <c r="G19" s="25"/>
      <c r="H19" s="25"/>
      <c r="I19" s="25"/>
    </row>
    <row r="20" customFormat="false" ht="15" hidden="false" customHeight="false" outlineLevel="0" collapsed="false">
      <c r="D20" s="26"/>
      <c r="H20" s="2"/>
      <c r="I20" s="2"/>
    </row>
    <row r="21" customFormat="false" ht="15" hidden="false" customHeight="false" outlineLevel="0" collapsed="false">
      <c r="H21" s="3"/>
      <c r="I21" s="3"/>
    </row>
    <row r="22" customFormat="false" ht="15" hidden="false" customHeight="false" outlineLevel="0" collapsed="false">
      <c r="I22" s="3"/>
    </row>
    <row r="23" customFormat="false" ht="15" hidden="false" customHeight="false" outlineLevel="0" collapsed="false">
      <c r="G23" s="2"/>
    </row>
    <row r="24" customFormat="false" ht="15" hidden="false" customHeight="false" outlineLevel="0" collapsed="false">
      <c r="N24" s="27"/>
    </row>
  </sheetData>
  <scenarios current="0" show="0">
    <scenario name="m" locked="false" count="1" user="Moreno Serrano" comment="Creado por Marta Moreno Majón el 10/20/2023">
      <inputCells r="G2" val="0,00001"/>
    </scenario>
    <scenario name="mx" locked="false" count="1" user="Moreno Serrano" comment="Creado por Marta Moreno Majón el 10/20/2023">
      <inputCells r="G2" val="0,00001"/>
    </scenario>
    <scenario name="mm" locked="false" count="1" user="Moreno Serrano" comment="Creado por Marta Moreno Majón el 10/20/2023">
      <inputCells r="G2" val="0,00001"/>
    </scenario>
    <scenario name="kk" locked="false" count="17" user="Moreno Serrano" comment="Creado por Marta Moreno Majón el 10/20/2023">
      <inputCells r="G2" val="0,0001"/>
      <inputCells r="G3" val="0,0001"/>
      <inputCells r="G4" val="0,0001"/>
      <inputCells r="G5" val="0,0001"/>
      <inputCells r="G6" val="0,0001"/>
      <inputCells r="G7" val="0,0001"/>
      <inputCells r="G8" val="0,0001"/>
      <inputCells r="G9" val="0,0001"/>
      <inputCells r="G10" val="0,0001"/>
      <inputCells r="G11" val="0,0001"/>
      <inputCells r="G12" val="0,0001"/>
      <inputCells r="G13" val="0,0001"/>
      <inputCells r="G14" val="0,0001"/>
      <inputCells r="G15" val="0,0001"/>
      <inputCells r="G16" val="0,0001"/>
      <inputCells r="G17" val="0,0001"/>
      <inputCells r="G18" val="0,0001"/>
    </scenario>
  </scenario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LibreOffice/7.5.7.1$Linux_X86_64 LibreOffice_project/50$Build-1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2023-10-05T20:38:08Z</dcterms:created>
  <dc:creator>Marta Moreno Majón</dc:creator>
  <dc:description/>
  <dc:language>es-ES</dc:language>
  <cp:lastModifiedBy>Luis Moreno Serrano</cp:lastModifiedBy>
  <dcterms:modified xsi:type="dcterms:W3CDTF">2023-10-29T11:30:27Z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